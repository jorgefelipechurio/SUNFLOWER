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alentamiento - Caso" sheetId="1" state="visible" r:id="rId3"/>
  </sheets>
  <definedNames>
    <definedName function="false" hidden="false" localSheetId="0" name="_xlnm.Print_Area" vbProcedure="false">'Precalentamiento - Caso'!$A$1:$G$37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<sst xmlns="http://schemas.openxmlformats.org/spreadsheetml/2006/main" count="46" uniqueCount="46">
  <si>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Caso de negocio — Precalentamiento de semilla de girasol antes del extrusor</t>
  </si>
  <si>
    <t xml:space="preserve">Planta de aceite de girasol — Proyecto Valeriano Sunflower</t>
  </si>
  <si>
    <t xml:space="preserve">SUPUESTOS (editables — celdas amarillas)</t>
  </si>
  <si>
    <t xml:space="preserve">Parámetro</t>
  </si>
  <si>
    <t xml:space="preserve">Valor</t>
  </si>
  <si>
    <t xml:space="preserve">Nota / fuente</t>
  </si>
  <si>
    <t xml:space="preserve">Volumen de semilla procesado por día</t>
  </si>
  <si>
    <t xml:space="preserve">Tn/día — dato de planta (ajustar)</t>
  </si>
  <si>
    <t xml:space="preserve">Contenido de aceite en la semilla</t>
  </si>
  <si>
    <t xml:space="preserve">Rango típico de híbridos comerciales: 40-47%. Ajustar con análisis propio de laboratorio.</t>
  </si>
  <si>
    <t xml:space="preserve">Eficiencia de extracción actual (sin precalentar)</t>
  </si>
  <si>
    <t xml:space="preserve">Prensado mecánico simple sin solvente: rango industrial típico 86-92% [Ref. 4]. Reemplazar por medición real (aceite residual en expeller).</t>
  </si>
  <si>
    <t xml:space="preserve">Precio de referencia del aceite</t>
  </si>
  <si>
    <t xml:space="preserve">USD/Tn — exportación aceite de girasol, Golfo de México, marzo 2026 [Ref. 5]. No es precio de venta real de la planta.</t>
  </si>
  <si>
    <t xml:space="preserve">Días de operación por año</t>
  </si>
  <si>
    <t xml:space="preserve">Ajustar según calendario real (paradas de mantenimiento, estacionalidad).</t>
  </si>
  <si>
    <t xml:space="preserve">SITUACIÓN ACTUAL (sin precalentar)</t>
  </si>
  <si>
    <t xml:space="preserve">Aceite disponible en la semilla (Tn/día)</t>
  </si>
  <si>
    <t xml:space="preserve">Aceite extraído hoy (Tn/día)</t>
  </si>
  <si>
    <t xml:space="preserve">ESCENARIOS DE MEJORA POR PRECALENTAMIENTO</t>
  </si>
  <si>
    <t xml:space="preserve">Escenario</t>
  </si>
  <si>
    <t xml:space="preserve">% mejora relativa</t>
  </si>
  <si>
    <t xml:space="preserve">Fuente académica</t>
  </si>
  <si>
    <t xml:space="preserve">Aceite extraído con
precalentado (Tn/día)</t>
  </si>
  <si>
    <t xml:space="preserve">Aceite adicional
(Tn/día)</t>
  </si>
  <si>
    <t xml:space="preserve">Aceite adicional
(Tn/año)</t>
  </si>
  <si>
    <t xml:space="preserve">Valor bruto adicional
(USD/año)</t>
  </si>
  <si>
    <t xml:space="preserve">Conservador</t>
  </si>
  <si>
    <t xml:space="preserve">Gaber et al. 2020 [1]</t>
  </si>
  <si>
    <t xml:space="preserve">Medio (girasol)</t>
  </si>
  <si>
    <t xml:space="preserve">Gürdil et al. 2020 [2]</t>
  </si>
  <si>
    <t xml:space="preserve">Optimista</t>
  </si>
  <si>
    <t xml:space="preserve">Koubaa et al. 2016 [3]</t>
  </si>
  <si>
    <t xml:space="preserve">[2] Mejora "Medio" = eficiencia con precalentado (93.46%) / eficiencia actual − 1. Ver nota de derivación abajo.</t>
  </si>
  <si>
    <t xml:space="preserve">NOTAS Y LIMITACIONES</t>
  </si>
  <si>
    <t xml:space="preserve">• El "valor bruto adicional" es solo el aceite extra recuperado x precio de referencia. NO incluye el costo del precalentador (CAPEX/OPEX), su consumo energético propio ni mantenimiento — todavía no hay cotización de equipo.</t>
  </si>
  <si>
    <t xml:space="preserve">• El escenario "Medio" es el único basado en un estudio específico de GIRASOL (Gürdil et al. 2020); los escenarios Conservador y Optimista usan literatura de canola y colza (oleaginosas de composición similar) como cota inferior/superior.</t>
  </si>
  <si>
    <t xml:space="preserve">• Los tres estudios de referencia son de laboratorio o planta piloto, no de escala industrial plena — antes de comprometer inversión se recomienda un banco de pruebas con semilla propia de la planta.</t>
  </si>
  <si>
    <t xml:space="preserve">• Los supuestos de eficiencia de extracción actual y contenido de aceite de la semilla son valores típicos de industria; reemplazar por datos reales de la planta en cuanto estén disponibles (celdas amarillas arriba).</t>
  </si>
  <si>
    <t xml:space="preserve">REFERENCIAS ACADÉMICAS Y DE MERCADO</t>
  </si>
  <si>
    <t xml:space="preserve">[1] Gaber, M.A.F.M.; Knoerzer, K.; Mansour, M.P.; Trujillo, F.J.; Juliano, P.; Shrestha, P. (2020). "Improved canola oil expeller extraction using a pilot-scale continuous flow microwave system for pre-treatment of seeds and flaked seeds." Journal of Food Engineering, 284. DOI: 10.1016/j.jfoodeng.2020.110053 — +4.3% de rendimiento de aceite en expeller de canola con precalentamiento por microondas (sistema continuo piloto).</t>
  </si>
  <si>
    <t xml:space="preserve">[2] Gürdil, G.A.K.; Kabutey, A.; Selvi, K.Ç.; Hrabě, P.; Herák, D.; Fraňková, A. (2020). "Investigation of Heating and Freezing Pretreatments on Mechanical, Chemical and Spectral Properties of Bulk Sunflower Seeds and Oil." Processes, 8(4), 411. DOI: 10.3390/pr8040411 — estudio específico de GIRASOL (banco de ensayo): eficiencia de expresión de aceite de 87% (control 25°C) a 93.46% (80°C).</t>
  </si>
  <si>
    <t xml:space="preserve">[3] Koubaa, M.; Roohinejad, S.; Greiner, R.; et al. (2016). "Oilseed treatment by ultrasounds and microwaves to improve oil yield and quality: An overview." Food Research International. DOI: 10.1016/j.foodres.2016.04.007 — +~10% de rendimiento de prensado mecánico en colza con pretratamiento por microondas.</t>
  </si>
  <si>
    <t xml:space="preserve">[4] Rango de eficiencia de extracción mecánica industrial (86-92% de recuperación, 6-14% de aceite residual en cake): ScienceDirect Topics, "Pressing Extraction" (overview); ver también Influence of Grinding Degree and Screw Rotation Speed on Sunflower Oil Pressing Process, Applied Sciences (MDPI) 13(17):9958, 2023.</t>
  </si>
  <si>
    <t xml:space="preserve">[5] Precio de referencia del aceite de girasol: "Sunflower oil, US export price from Gulf of Mexico", IndexMundi, dato de marzo 2026 (USD 1,465/Tn). Valor de mercado internacional a título indicativo — no es asesoramiento financiero ni el precio de venta real de la planta.</t>
  </si>
  <si>
    <t xml:space="preserve">Documento de referencia del proyecto: claude/precalentamiento-semillas-preheater-referencias.md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</si>
</sst>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&quot;USD &quot;#,##0"/>
    <numFmt numFmtId="168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color rgb="FFCADCFC"/>
      <name val="Arial"/>
      <family val="0"/>
      <charset val="1"/>
    </font>
    <font>
      <b val="true"/>
      <sz val="12"/>
      <color rgb="FF1B243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.5"/>
      <color rgb="FF5A6472"/>
      <name val="Arial"/>
      <family val="0"/>
      <charset val="1"/>
    </font>
    <font>
      <b val="true"/>
      <sz val="11"/>
      <color rgb="FF1B2430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.5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430"/>
        <bgColor rgb="FF2A3644"/>
      </patternFill>
    </fill>
    <fill>
      <patternFill patternType="solid">
        <fgColor rgb="FF2A3644"/>
        <bgColor rgb="FF1B2430"/>
      </patternFill>
    </fill>
    <fill>
      <patternFill patternType="solid">
        <fgColor rgb="FFE7EAEE"/>
        <bgColor rgb="FFCADCF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7EAEE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1B2430"/>
      <rgbColor rgb="FF993300"/>
      <rgbColor rgb="FF993366"/>
      <rgbColor rgb="FF333399"/>
      <rgbColor rgb="FF2A36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2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  <c r="D5" s="6"/>
      <c r="E5" s="6"/>
      <c r="F5" s="6"/>
      <c r="G5" s="6"/>
    </row>
    <row r="6" customFormat="false" ht="27.75" hidden="false" customHeight="true" outlineLevel="0" collapsed="false">
      <c r="A6" s="7" t="s">
        <v>6</v>
      </c>
      <c r="B6" s="8" t="n">
        <v>100</v>
      </c>
      <c r="C6" s="9" t="s">
        <v>7</v>
      </c>
      <c r="D6" s="9"/>
      <c r="E6" s="9"/>
      <c r="F6" s="9"/>
      <c r="G6" s="9"/>
    </row>
    <row r="7" customFormat="false" ht="27.75" hidden="false" customHeight="true" outlineLevel="0" collapsed="false">
      <c r="A7" s="7" t="s">
        <v>8</v>
      </c>
      <c r="B7" s="10" t="n">
        <v>0.44</v>
      </c>
      <c r="C7" s="9" t="s">
        <v>9</v>
      </c>
      <c r="D7" s="9"/>
      <c r="E7" s="9"/>
      <c r="F7" s="9"/>
      <c r="G7" s="9"/>
    </row>
    <row r="8" customFormat="false" ht="27.75" hidden="false" customHeight="true" outlineLevel="0" collapsed="false">
      <c r="A8" s="7" t="s">
        <v>10</v>
      </c>
      <c r="B8" s="10" t="n">
        <v>0.87</v>
      </c>
      <c r="C8" s="9" t="s">
        <v>11</v>
      </c>
      <c r="D8" s="9"/>
      <c r="E8" s="9"/>
      <c r="F8" s="9"/>
      <c r="G8" s="9"/>
    </row>
    <row r="9" customFormat="false" ht="27.75" hidden="false" customHeight="true" outlineLevel="0" collapsed="false">
      <c r="A9" s="7" t="s">
        <v>12</v>
      </c>
      <c r="B9" s="11" t="n">
        <v>1465</v>
      </c>
      <c r="C9" s="9" t="s">
        <v>13</v>
      </c>
      <c r="D9" s="9"/>
      <c r="E9" s="9"/>
      <c r="F9" s="9"/>
      <c r="G9" s="9"/>
    </row>
    <row r="10" customFormat="false" ht="27.75" hidden="false" customHeight="true" outlineLevel="0" collapsed="false">
      <c r="A10" s="7" t="s">
        <v>14</v>
      </c>
      <c r="B10" s="8" t="n">
        <v>300</v>
      </c>
      <c r="C10" s="9" t="s">
        <v>15</v>
      </c>
      <c r="D10" s="9"/>
      <c r="E10" s="9"/>
      <c r="F10" s="9"/>
      <c r="G10" s="9"/>
    </row>
    <row r="12" customFormat="false" ht="15" hidden="false" customHeight="false" outlineLevel="0" collapsed="false">
      <c r="A12" s="3" t="s">
        <v>16</v>
      </c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7" t="s">
        <v>17</v>
      </c>
      <c r="B13" s="12" t="n">
        <f aca="false">B6*B7</f>
        <v>44</v>
      </c>
    </row>
    <row r="14" customFormat="false" ht="15" hidden="false" customHeight="false" outlineLevel="0" collapsed="false">
      <c r="A14" s="7" t="s">
        <v>18</v>
      </c>
      <c r="B14" s="12" t="n">
        <f aca="false">B13*B8</f>
        <v>38.28</v>
      </c>
    </row>
    <row r="16" customFormat="false" ht="15" hidden="false" customHeight="false" outlineLevel="0" collapsed="false">
      <c r="A16" s="3" t="s">
        <v>19</v>
      </c>
      <c r="B16" s="3"/>
      <c r="C16" s="3"/>
      <c r="D16" s="3"/>
      <c r="E16" s="3"/>
      <c r="F16" s="3"/>
      <c r="G16" s="3"/>
    </row>
    <row r="17" customFormat="false" ht="31.5" hidden="false" customHeight="true" outlineLevel="0" collapsed="false">
      <c r="A17" s="13" t="s">
        <v>20</v>
      </c>
      <c r="B17" s="13" t="s">
        <v>21</v>
      </c>
      <c r="C17" s="13" t="s">
        <v>22</v>
      </c>
      <c r="D17" s="13" t="s">
        <v>23</v>
      </c>
      <c r="E17" s="13" t="s">
        <v>24</v>
      </c>
      <c r="F17" s="13" t="s">
        <v>25</v>
      </c>
      <c r="G17" s="13" t="s">
        <v>26</v>
      </c>
    </row>
    <row r="18" customFormat="false" ht="15" hidden="false" customHeight="false" outlineLevel="0" collapsed="false">
      <c r="A18" s="7" t="s">
        <v>27</v>
      </c>
      <c r="B18" s="10" t="n">
        <v>0.043</v>
      </c>
      <c r="C18" s="7" t="s">
        <v>28</v>
      </c>
      <c r="D18" s="12" t="n">
        <f aca="false">$B$14*(1+B18)</f>
        <v>39.92604</v>
      </c>
      <c r="E18" s="12" t="n">
        <f aca="false">D18-$B$14</f>
        <v>1.64604</v>
      </c>
      <c r="F18" s="14" t="n">
        <f aca="false">E18*$B$10</f>
        <v>493.812</v>
      </c>
      <c r="G18" s="15" t="n">
        <f aca="false">F18*$B$9</f>
        <v>723434.58</v>
      </c>
    </row>
    <row r="19" customFormat="false" ht="15" hidden="false" customHeight="false" outlineLevel="0" collapsed="false">
      <c r="A19" s="16" t="s">
        <v>29</v>
      </c>
      <c r="B19" s="10" t="n">
        <v>0.074</v>
      </c>
      <c r="C19" s="7" t="s">
        <v>30</v>
      </c>
      <c r="D19" s="12" t="n">
        <f aca="false">$B$14*(1+B19)</f>
        <v>41.11272</v>
      </c>
      <c r="E19" s="12" t="n">
        <f aca="false">D19-$B$14</f>
        <v>2.83272</v>
      </c>
      <c r="F19" s="14" t="n">
        <f aca="false">E19*$B$10</f>
        <v>849.816000000001</v>
      </c>
      <c r="G19" s="15" t="n">
        <f aca="false">F19*$B$9</f>
        <v>1244980.44</v>
      </c>
    </row>
    <row r="20" customFormat="false" ht="15" hidden="false" customHeight="false" outlineLevel="0" collapsed="false">
      <c r="A20" s="7" t="s">
        <v>31</v>
      </c>
      <c r="B20" s="10" t="n">
        <v>0.1</v>
      </c>
      <c r="C20" s="7" t="s">
        <v>32</v>
      </c>
      <c r="D20" s="12" t="n">
        <f aca="false">$B$14*(1+B20)</f>
        <v>42.108</v>
      </c>
      <c r="E20" s="12" t="n">
        <f aca="false">D20-$B$14</f>
        <v>3.828</v>
      </c>
      <c r="F20" s="14" t="n">
        <f aca="false">E20*$B$10</f>
        <v>1148.4</v>
      </c>
      <c r="G20" s="15" t="n">
        <f aca="false">F20*$B$9</f>
        <v>1682406</v>
      </c>
    </row>
    <row r="22" customFormat="false" ht="15" hidden="false" customHeight="true" outlineLevel="0" collapsed="false">
      <c r="A22" s="17" t="s">
        <v>33</v>
      </c>
      <c r="B22" s="17"/>
      <c r="C22" s="17"/>
      <c r="D22" s="17"/>
      <c r="E22" s="17"/>
      <c r="F22" s="17"/>
      <c r="G22" s="17"/>
    </row>
    <row r="24" customFormat="false" ht="15" hidden="false" customHeight="false" outlineLevel="0" collapsed="false">
      <c r="A24" s="3" t="s">
        <v>34</v>
      </c>
      <c r="B24" s="3"/>
      <c r="C24" s="3"/>
      <c r="D24" s="3"/>
      <c r="E24" s="3"/>
      <c r="F24" s="3"/>
      <c r="G24" s="3"/>
    </row>
    <row r="25" customFormat="false" ht="27.75" hidden="false" customHeight="true" outlineLevel="0" collapsed="false">
      <c r="A25" s="18" t="s">
        <v>35</v>
      </c>
      <c r="B25" s="18"/>
      <c r="C25" s="18"/>
      <c r="D25" s="18"/>
      <c r="E25" s="18"/>
      <c r="F25" s="18"/>
      <c r="G25" s="18"/>
    </row>
    <row r="26" customFormat="false" ht="27.75" hidden="false" customHeight="true" outlineLevel="0" collapsed="false">
      <c r="A26" s="18" t="s">
        <v>36</v>
      </c>
      <c r="B26" s="18"/>
      <c r="C26" s="18"/>
      <c r="D26" s="18"/>
      <c r="E26" s="18"/>
      <c r="F26" s="18"/>
      <c r="G26" s="18"/>
    </row>
    <row r="27" customFormat="false" ht="27.75" hidden="false" customHeight="true" outlineLevel="0" collapsed="false">
      <c r="A27" s="18" t="s">
        <v>37</v>
      </c>
      <c r="B27" s="18"/>
      <c r="C27" s="18"/>
      <c r="D27" s="18"/>
      <c r="E27" s="18"/>
      <c r="F27" s="18"/>
      <c r="G27" s="18"/>
    </row>
    <row r="28" customFormat="false" ht="27.75" hidden="false" customHeight="true" outlineLevel="0" collapsed="false">
      <c r="A28" s="18" t="s">
        <v>38</v>
      </c>
      <c r="B28" s="18"/>
      <c r="C28" s="18"/>
      <c r="D28" s="18"/>
      <c r="E28" s="18"/>
      <c r="F28" s="18"/>
      <c r="G28" s="18"/>
    </row>
    <row r="30" customFormat="false" ht="15" hidden="false" customHeight="false" outlineLevel="0" collapsed="false">
      <c r="A30" s="19" t="s">
        <v>39</v>
      </c>
      <c r="B30" s="19"/>
      <c r="C30" s="19"/>
      <c r="D30" s="19"/>
      <c r="E30" s="19"/>
      <c r="F30" s="19"/>
      <c r="G30" s="19"/>
    </row>
    <row r="31" customFormat="false" ht="42" hidden="false" customHeight="true" outlineLevel="0" collapsed="false">
      <c r="A31" s="20" t="s">
        <v>40</v>
      </c>
      <c r="B31" s="20"/>
      <c r="C31" s="20"/>
      <c r="D31" s="20"/>
      <c r="E31" s="20"/>
      <c r="F31" s="20"/>
      <c r="G31" s="20"/>
    </row>
    <row r="32" customFormat="false" ht="42" hidden="false" customHeight="true" outlineLevel="0" collapsed="false">
      <c r="A32" s="20" t="s">
        <v>41</v>
      </c>
      <c r="B32" s="20"/>
      <c r="C32" s="20"/>
      <c r="D32" s="20"/>
      <c r="E32" s="20"/>
      <c r="F32" s="20"/>
      <c r="G32" s="20"/>
    </row>
    <row r="33" customFormat="false" ht="42" hidden="false" customHeight="true" outlineLevel="0" collapsed="false">
      <c r="A33" s="20" t="s">
        <v>42</v>
      </c>
      <c r="B33" s="20"/>
      <c r="C33" s="20"/>
      <c r="D33" s="20"/>
      <c r="E33" s="20"/>
      <c r="F33" s="20"/>
      <c r="G33" s="20"/>
    </row>
    <row r="34" customFormat="false" ht="42" hidden="false" customHeight="true" outlineLevel="0" collapsed="false">
      <c r="A34" s="20" t="s">
        <v>43</v>
      </c>
      <c r="B34" s="20"/>
      <c r="C34" s="20"/>
      <c r="D34" s="20"/>
      <c r="E34" s="20"/>
      <c r="F34" s="20"/>
      <c r="G34" s="20"/>
    </row>
    <row r="35" customFormat="false" ht="42" hidden="false" customHeight="true" outlineLevel="0" collapsed="false">
      <c r="A35" s="20" t="s">
        <v>44</v>
      </c>
      <c r="B35" s="20"/>
      <c r="C35" s="20"/>
      <c r="D35" s="20"/>
      <c r="E35" s="20"/>
      <c r="F35" s="20"/>
      <c r="G35" s="20"/>
    </row>
    <row r="37" customFormat="false" ht="15" hidden="false" customHeight="false" outlineLevel="0" collapsed="false">
      <c r="A37" s="21" t="s">
        <v>45</v>
      </c>
      <c r="B37" s="21"/>
      <c r="C37" s="21"/>
      <c r="D37" s="21"/>
      <c r="E37" s="21"/>
      <c r="F37" s="21"/>
      <c r="G37" s="21"/>
    </row>
  </sheetData>
  <mergeCells count="24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A12:G12"/>
    <mergeCell ref="A16:G16"/>
    <mergeCell ref="A22:G22"/>
    <mergeCell ref="A24:G24"/>
    <mergeCell ref="A25:G25"/>
    <mergeCell ref="A26:G26"/>
    <mergeCell ref="A27:G27"/>
    <mergeCell ref="A28:G28"/>
    <mergeCell ref="A30:G30"/>
    <mergeCell ref="A31:G31"/>
    <mergeCell ref="A32:G32"/>
    <mergeCell ref="A33:G33"/>
    <mergeCell ref="A34:G34"/>
    <mergeCell ref="A35:G35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2026-09-16T11:42:36Z</dcterms:created>
  <dc:creator>openpyxl</dc:creator>
  <dc:description/>
  <dc:language>en-US</dc:language>
  <cp:lastModifiedBy/>
  <dcterms:modified xsi:type="dcterms:W3CDTF">2026-09-16T11:42:36Z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